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  <sheet name="PRICE_MASTER" sheetId="2" state="visible" r:id="rId2"/>
    <sheet name="ORDER_PROCESSOR" sheetId="3" state="visible" r:id="rId3"/>
    <sheet name="PROCUREMENT" sheetId="4" state="visible" r:id="rId4"/>
    <sheet name="DASHBOARD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:ss"/>
    <numFmt numFmtId="166" formatCode="?#,##0"/>
  </numFmts>
  <fonts count="4">
    <font>
      <name val="Calibri"/>
      <family val="2"/>
      <color theme="1"/>
      <sz val="11"/>
      <scheme val="minor"/>
    </font>
    <font>
      <name val="Arial"/>
      <color theme="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/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65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6" fontId="0" fillId="3" borderId="2" applyAlignment="1" pivotButton="0" quotePrefix="0" xfId="0">
      <alignment vertical="center" wrapText="1"/>
    </xf>
    <xf numFmtId="9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.88" customWidth="1" min="1" max="1"/>
    <col width="37.63" customWidth="1" min="5" max="5"/>
    <col width="18.88" customWidth="1" min="6" max="6"/>
    <col width="33.5" customWidth="1" min="7" max="7"/>
    <col width="37.63" customWidth="1" min="8" max="8"/>
    <col width="31.13" customWidth="1" min="9" max="9"/>
    <col width="37.63" customWidth="1" min="10" max="10"/>
    <col width="22.88" customWidth="1" min="11" max="11"/>
    <col width="37.63" customWidth="1" min="12" max="12"/>
    <col width="36.38" customWidth="1" min="28" max="28"/>
    <col width="32" customWidth="1" min="29" max="29"/>
    <col width="29.63" customWidth="1" min="30" max="30"/>
    <col width="26.75" customWidth="1" min="31" max="31"/>
    <col width="25.38" customWidth="1" min="32" max="32"/>
    <col width="24.25" customWidth="1" min="33" max="33"/>
    <col width="26.38" customWidth="1" min="34" max="34"/>
    <col width="29.88" customWidth="1" min="35" max="35"/>
    <col width="34.25" customWidth="1" min="36" max="36"/>
    <col width="31.13" customWidth="1" min="37" max="37"/>
    <col width="34.63" customWidth="1" min="38" max="38"/>
    <col width="37.25" customWidth="1" min="39" max="39"/>
    <col width="37.63" customWidth="1" min="40" max="40"/>
    <col width="35" customWidth="1" min="42" max="42"/>
    <col width="28.13" customWidth="1" min="43" max="43"/>
    <col width="37.63" customWidth="1" min="44" max="44"/>
    <col width="18.88" customWidth="1" min="47" max="47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 xml:space="preserve">1. Full Name </t>
        </is>
      </c>
      <c r="D1" s="1" t="inlineStr">
        <is>
          <t xml:space="preserve">2. Mobile Number </t>
        </is>
      </c>
      <c r="E1" s="1" t="inlineStr">
        <is>
          <t>3. WhatsApp Number (Optional - Leave blank if same as above)</t>
        </is>
      </c>
      <c r="F1" s="1" t="inlineStr">
        <is>
          <t xml:space="preserve">4. Area </t>
        </is>
      </c>
      <c r="G1" s="1" t="inlineStr">
        <is>
          <t xml:space="preserve">5. Full Delivery Address (Flat no./Area) </t>
        </is>
      </c>
      <c r="H1" s="1" t="inlineStr">
        <is>
          <t>6. Landmark (Help our delivery partner find you faster!)</t>
        </is>
      </c>
      <c r="I1" s="1" t="inlineStr">
        <is>
          <t>7. Preferred Delivery Slot (Required)</t>
        </is>
      </c>
      <c r="J1" s="1" t="inlineStr">
        <is>
          <t>8. Family Size (Helps us understand your typical order quantity)</t>
        </is>
      </c>
      <c r="K1" s="1" t="inlineStr">
        <is>
          <t>9. Order Type (Required)</t>
        </is>
      </c>
      <c r="L1" s="1" t="inlineStr">
        <is>
          <t>Select the required quantity for each vegetable. Choose 'Custom in Notes' for specific amounts. [Onion (pyaaz)]</t>
        </is>
      </c>
      <c r="M1" s="1" t="inlineStr">
        <is>
          <t>Select the required quantity for each vegetable. Choose 'Custom in Notes' for specific amounts. [Tomato (tamatar)]</t>
        </is>
      </c>
      <c r="N1" s="1" t="inlineStr">
        <is>
          <t>Select the required quantity for each vegetable. Choose 'Custom in Notes' for specific amounts. [Potato  (aalu)]</t>
        </is>
      </c>
      <c r="O1" s="1" t="inlineStr">
        <is>
          <t>Select the required quantity for each vegetable. Choose 'Custom in Notes' for specific amounts. [Brinjal  (baingan)]</t>
        </is>
      </c>
      <c r="P1" s="1" t="inlineStr">
        <is>
          <t>Select the required quantity for each vegetable. Choose 'Custom in Notes' for specific amounts. [Ginger (adrak)]</t>
        </is>
      </c>
      <c r="Q1" s="1" t="inlineStr">
        <is>
          <t>Select the required quantity for each vegetable. Choose 'Custom in Notes' for specific amounts. [Garlic (lahsun)]</t>
        </is>
      </c>
      <c r="R1" s="1" t="inlineStr">
        <is>
          <t>Select the required quantity for each vegetable. Choose 'Custom in Notes' for specific amounts. [Cucumber (kheera)]</t>
        </is>
      </c>
      <c r="S1" s="1" t="inlineStr">
        <is>
          <t>Select the required quantity for each vegetable. Choose 'Custom in Notes' for specific amounts. [Carrot (gaajar)]</t>
        </is>
      </c>
      <c r="T1" s="1" t="inlineStr">
        <is>
          <t>Select the required quantity for each vegetable. Choose 'Custom in Notes' for specific amounts. [Capsicum (shimla mirch)]</t>
        </is>
      </c>
      <c r="U1" s="1" t="inlineStr">
        <is>
          <t>Select the required quantity for each vegetable. Choose 'Custom in Notes' for specific amounts. [Bottle Gourd (kaddu)]</t>
        </is>
      </c>
      <c r="V1" s="1" t="inlineStr">
        <is>
          <t>Select the required quantity for each vegetable. Choose 'Custom in Notes' for specific amounts. [Lady Finger (bhindi)]</t>
        </is>
      </c>
      <c r="W1" s="1" t="inlineStr">
        <is>
          <t>Select the required quantity for each vegetable. Choose 'Custom in Notes' for specific amounts. [Cauliflower (phool gobi)]</t>
        </is>
      </c>
      <c r="X1" s="1" t="inlineStr">
        <is>
          <t>Select the required quantity for each vegetable. Choose 'Custom in Notes' for specific amounts. [Cabbage (patta gobi)]</t>
        </is>
      </c>
      <c r="Y1" s="1" t="inlineStr">
        <is>
          <t>Select the required quantity for each vegetable. Choose 'Custom in Notes' for specific amounts. [Beans (sem ki phalli)]</t>
        </is>
      </c>
      <c r="Z1" s="1" t="inlineStr">
        <is>
          <t>Select the required quantity for each vegetable. Choose 'Custom in Notes' for specific amounts. [Beans (binnis ki phalli)]</t>
        </is>
      </c>
      <c r="AA1" s="1" t="inlineStr">
        <is>
          <t>Select the required quantity for each vegetable. Choose 'Custom in Notes' for specific amounts. [Beans (gawar ki phalli)]</t>
        </is>
      </c>
      <c r="AB1" s="1" t="inlineStr">
        <is>
          <t>Leaves &amp; Spices  [Spinach (palak ki bhaaji)]</t>
        </is>
      </c>
      <c r="AC1" s="1" t="inlineStr">
        <is>
          <t>Leaves &amp; Spices  [Ambadey ki bhaaji]</t>
        </is>
      </c>
      <c r="AD1" s="1" t="inlineStr">
        <is>
          <t>Leaves &amp; Spices  [Kufley ki bhaaji]</t>
        </is>
      </c>
      <c r="AE1" s="1" t="inlineStr">
        <is>
          <t>Leaves &amp; Spices  [Hari mirchi]</t>
        </is>
      </c>
      <c r="AF1" s="1" t="inlineStr">
        <is>
          <t>Leaves &amp; Spices  [Kothimir ]</t>
        </is>
      </c>
      <c r="AG1" s="1" t="inlineStr">
        <is>
          <t>Leaves &amp; Spices  [Pudina ]</t>
        </is>
      </c>
      <c r="AH1" s="1" t="inlineStr">
        <is>
          <t>Leaves &amp; Spices  [Karyapaak]</t>
        </is>
      </c>
      <c r="AI1" s="1" t="inlineStr">
        <is>
          <t>Leaves &amp; Spices  [Lemon (nimbu)]</t>
        </is>
      </c>
      <c r="AJ1" s="1" t="inlineStr">
        <is>
          <t>FRESH FRUITS ORDER [Mangoes (aam)]</t>
        </is>
      </c>
      <c r="AK1" s="1" t="inlineStr">
        <is>
          <t>FRESH FRUITS ORDER [Apple (seb)]</t>
        </is>
      </c>
      <c r="AL1" s="1" t="inlineStr">
        <is>
          <t>FRESH FRUITS ORDER [Grapes (angoor)]</t>
        </is>
      </c>
      <c r="AM1" s="1" t="inlineStr">
        <is>
          <t>FRESH FRUITS ORDER [Pomegranate (anar)]</t>
        </is>
      </c>
      <c r="AN1" s="1" t="inlineStr">
        <is>
          <t>FRESH FRUITS ORDER [Watermelon (tarbuz)]</t>
        </is>
      </c>
      <c r="AO1" s="1" t="inlineStr">
        <is>
          <t>FRESH FRUITS ORDER [Bananas (mouz in dozens)]</t>
        </is>
      </c>
      <c r="AP1" s="1" t="inlineStr">
        <is>
          <t>FRESH FRUITS ORDER [Oranges (santra)]</t>
        </is>
      </c>
      <c r="AQ1" s="1" t="inlineStr">
        <is>
          <t>Dairy Essential products  [Eggs]</t>
        </is>
      </c>
      <c r="AR1" s="1" t="inlineStr">
        <is>
          <t>Do you need an estimated bill on WhatsApp before delivery?</t>
        </is>
      </c>
      <c r="AS1" s="1" t="inlineStr">
        <is>
          <t>Would you like a weekly reminder for your next household order?</t>
        </is>
      </c>
      <c r="AT1" s="1" t="inlineStr">
        <is>
          <t>Any special instructions or custom quantities for your order?</t>
        </is>
      </c>
      <c r="AU1" s="1" t="inlineStr">
        <is>
          <t>@</t>
        </is>
      </c>
    </row>
    <row r="2">
      <c r="A2" s="2" t="n">
        <v>46133.63297579861</v>
      </c>
      <c r="B2" s="3" t="inlineStr">
        <is>
          <t>minhajmuhammad229@gmail.com</t>
        </is>
      </c>
      <c r="C2" s="3" t="inlineStr">
        <is>
          <t xml:space="preserve">Mohammed Minhaj </t>
        </is>
      </c>
      <c r="D2" s="3" t="inlineStr">
        <is>
          <t>09908597337</t>
        </is>
      </c>
      <c r="E2" s="3" t="n"/>
      <c r="F2" s="3" t="inlineStr">
        <is>
          <t>Warangal</t>
        </is>
      </c>
      <c r="G2" s="3" t="inlineStr">
        <is>
          <t>14-2-132
14-2-132 venu rao colony</t>
        </is>
      </c>
      <c r="H2" s="3" t="inlineStr">
        <is>
          <t>Arabian knights</t>
        </is>
      </c>
      <c r="I2" s="3" t="inlineStr">
        <is>
          <t>Morning (7–10 AM)</t>
        </is>
      </c>
      <c r="J2" s="3" t="inlineStr">
        <is>
          <t>5+ Members</t>
        </is>
      </c>
      <c r="K2" s="3" t="inlineStr">
        <is>
          <t>Urgent Same-Day Order</t>
        </is>
      </c>
      <c r="L2" s="3" t="inlineStr">
        <is>
          <t>1 kg, 2 kg</t>
        </is>
      </c>
      <c r="M2" s="3" t="inlineStr">
        <is>
          <t>2 kg</t>
        </is>
      </c>
      <c r="N2" s="3" t="inlineStr">
        <is>
          <t>2 kg</t>
        </is>
      </c>
      <c r="O2" s="3" t="inlineStr">
        <is>
          <t>1 kg</t>
        </is>
      </c>
      <c r="P2" s="3" t="inlineStr">
        <is>
          <t>500g</t>
        </is>
      </c>
      <c r="Q2" s="3" t="inlineStr">
        <is>
          <t>500g</t>
        </is>
      </c>
      <c r="R2" s="3" t="inlineStr">
        <is>
          <t>500g</t>
        </is>
      </c>
      <c r="S2" s="3" t="inlineStr">
        <is>
          <t>500g</t>
        </is>
      </c>
      <c r="T2" s="3" t="inlineStr">
        <is>
          <t>1 kg</t>
        </is>
      </c>
      <c r="U2" s="3" t="inlineStr">
        <is>
          <t>1 kg</t>
        </is>
      </c>
      <c r="V2" s="3" t="inlineStr">
        <is>
          <t>1 kg</t>
        </is>
      </c>
      <c r="W2" s="3" t="inlineStr">
        <is>
          <t>1 kg</t>
        </is>
      </c>
      <c r="X2" s="3" t="inlineStr">
        <is>
          <t>1 kg</t>
        </is>
      </c>
      <c r="Y2" s="3" t="inlineStr">
        <is>
          <t>500g</t>
        </is>
      </c>
      <c r="Z2" s="3" t="inlineStr">
        <is>
          <t>500g</t>
        </is>
      </c>
      <c r="AA2" s="3" t="inlineStr">
        <is>
          <t>500g</t>
        </is>
      </c>
      <c r="AB2" s="3" t="inlineStr">
        <is>
          <t>10 Rupees, 20 Rupees</t>
        </is>
      </c>
      <c r="AC2" s="3" t="inlineStr">
        <is>
          <t>20 Rupees</t>
        </is>
      </c>
      <c r="AD2" s="3" t="inlineStr">
        <is>
          <t>20 Rupees</t>
        </is>
      </c>
      <c r="AE2" s="3" t="inlineStr">
        <is>
          <t>20 Rupees</t>
        </is>
      </c>
      <c r="AF2" s="3" t="inlineStr">
        <is>
          <t>10 Rupees</t>
        </is>
      </c>
      <c r="AG2" s="3" t="inlineStr">
        <is>
          <t>10 Rupees</t>
        </is>
      </c>
      <c r="AH2" s="3" t="inlineStr">
        <is>
          <t>10 Rupees</t>
        </is>
      </c>
      <c r="AI2" s="3" t="inlineStr">
        <is>
          <t>10 Rupees, 20 Rupees</t>
        </is>
      </c>
      <c r="AJ2" s="3" t="n"/>
      <c r="AK2" s="3" t="n"/>
      <c r="AL2" s="3" t="n"/>
      <c r="AM2" s="3" t="n"/>
      <c r="AN2" s="3" t="inlineStr">
        <is>
          <t>1 kg</t>
        </is>
      </c>
      <c r="AO2" s="3" t="n"/>
      <c r="AP2" s="3" t="n"/>
      <c r="AQ2" s="3" t="n"/>
      <c r="AR2" s="3" t="inlineStr">
        <is>
          <t>Yes, please send the confirmed bill before dispatch.</t>
        </is>
      </c>
      <c r="AS2" s="3" t="inlineStr">
        <is>
          <t>Yes, please remind me every Friday afternoon.</t>
        </is>
      </c>
      <c r="AT2" s="3" t="inlineStr">
        <is>
          <t>i need muskmelon 2 kgs</t>
        </is>
      </c>
      <c r="AU2" s="3" t="n"/>
    </row>
    <row r="3">
      <c r="A3" s="2" t="n">
        <v>46133.63617222222</v>
      </c>
      <c r="B3" s="3" t="inlineStr">
        <is>
          <t>@gmail.com</t>
        </is>
      </c>
      <c r="C3" s="3" t="inlineStr">
        <is>
          <t>Minnu</t>
        </is>
      </c>
      <c r="D3" s="3" t="n">
        <v>9908597337</v>
      </c>
      <c r="E3" s="3" t="n"/>
      <c r="F3" s="3" t="inlineStr">
        <is>
          <t>Warangal</t>
        </is>
      </c>
      <c r="G3" s="3" t="inlineStr">
        <is>
          <t>Mb</t>
        </is>
      </c>
      <c r="H3" s="3" t="inlineStr">
        <is>
          <t>Arabian mandi</t>
        </is>
      </c>
      <c r="I3" s="3" t="inlineStr">
        <is>
          <t>Evening (5–7 PM)</t>
        </is>
      </c>
      <c r="J3" s="3" t="inlineStr">
        <is>
          <t>5+ Members</t>
        </is>
      </c>
      <c r="K3" s="3" t="inlineStr">
        <is>
          <t>Weekly Household Order</t>
        </is>
      </c>
      <c r="L3" s="3" t="n"/>
      <c r="M3" s="3" t="n"/>
      <c r="N3" s="3" t="inlineStr">
        <is>
          <t>2 kg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inlineStr">
        <is>
          <t>5 upees</t>
        </is>
      </c>
      <c r="AJ3" s="3" t="n"/>
      <c r="AK3" s="3" t="n"/>
      <c r="AL3" s="3" t="n"/>
      <c r="AM3" s="3" t="n"/>
      <c r="AN3" s="3" t="inlineStr">
        <is>
          <t>1 dozen</t>
        </is>
      </c>
      <c r="AO3" s="3" t="n"/>
      <c r="AP3" s="3" t="n"/>
      <c r="AQ3" s="3" t="inlineStr">
        <is>
          <t>1 lit</t>
        </is>
      </c>
      <c r="AR3" s="3" t="inlineStr">
        <is>
          <t>Yes, please send the confirmed bill before dispatch.</t>
        </is>
      </c>
      <c r="AS3" s="3" t="inlineStr">
        <is>
          <t>No, thank you.</t>
        </is>
      </c>
      <c r="AT3" s="3" t="inlineStr">
        <is>
          <t>50 kilooo aaluu bhejo purr purr mr</t>
        </is>
      </c>
      <c r="AU3" s="3" t="n"/>
    </row>
    <row r="4">
      <c r="A4" s="2" t="n">
        <v>46133.63618895833</v>
      </c>
      <c r="B4" s="3" t="inlineStr">
        <is>
          <t>minhajmuhammad229@gmail.com</t>
        </is>
      </c>
      <c r="C4" s="3" t="inlineStr">
        <is>
          <t>M</t>
        </is>
      </c>
      <c r="D4" s="3" t="n">
        <v>66</v>
      </c>
      <c r="E4" s="3" t="n">
        <v>8</v>
      </c>
      <c r="F4" s="3" t="inlineStr">
        <is>
          <t>Warangal</t>
        </is>
      </c>
      <c r="G4" s="3" t="n">
        <v>14</v>
      </c>
      <c r="H4" s="3" t="inlineStr">
        <is>
          <t>Yt</t>
        </is>
      </c>
      <c r="I4" s="3" t="inlineStr">
        <is>
          <t>Morning (7–10 AM)</t>
        </is>
      </c>
      <c r="J4" s="3" t="inlineStr">
        <is>
          <t>5+ Members</t>
        </is>
      </c>
      <c r="K4" s="3" t="inlineStr">
        <is>
          <t>Trial First Order</t>
        </is>
      </c>
      <c r="L4" s="3" t="inlineStr">
        <is>
          <t>Not Needed</t>
        </is>
      </c>
      <c r="M4" s="3" t="inlineStr">
        <is>
          <t>Not Needed</t>
        </is>
      </c>
      <c r="N4" s="3" t="n"/>
      <c r="O4" s="3" t="inlineStr">
        <is>
          <t>250g</t>
        </is>
      </c>
      <c r="P4" s="3" t="n"/>
      <c r="Q4" s="3" t="n"/>
      <c r="R4" s="3" t="inlineStr">
        <is>
          <t>500g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inlineStr">
        <is>
          <t>10 Rupees</t>
        </is>
      </c>
      <c r="AC4" s="3" t="n"/>
      <c r="AD4" s="3" t="inlineStr">
        <is>
          <t>20 Rupees</t>
        </is>
      </c>
      <c r="AE4" s="3" t="inlineStr">
        <is>
          <t>20 Rupees</t>
        </is>
      </c>
      <c r="AF4" s="3" t="n"/>
      <c r="AG4" s="3" t="n"/>
      <c r="AH4" s="3" t="n"/>
      <c r="AI4" s="3" t="n"/>
      <c r="AJ4" s="3" t="n"/>
      <c r="AK4" s="3" t="n"/>
      <c r="AL4" s="3" t="n"/>
      <c r="AM4" s="3" t="inlineStr">
        <is>
          <t>1 dozen</t>
        </is>
      </c>
      <c r="AN4" s="3" t="inlineStr">
        <is>
          <t>1 dozen</t>
        </is>
      </c>
      <c r="AO4" s="3" t="n"/>
      <c r="AP4" s="3" t="n"/>
      <c r="AQ4" s="3" t="inlineStr">
        <is>
          <t>1 tray 30</t>
        </is>
      </c>
      <c r="AR4" s="3" t="inlineStr">
        <is>
          <t>Yes, please send the confirmed bill before dispatch.</t>
        </is>
      </c>
      <c r="AS4" s="3" t="inlineStr">
        <is>
          <t>Yes, please remind me every Friday afternoon.</t>
        </is>
      </c>
      <c r="AT4" s="3" t="n"/>
      <c r="AU4" s="3" t="n"/>
    </row>
    <row r="5">
      <c r="A5" s="2" t="n">
        <v>46133.81233353009</v>
      </c>
      <c r="B5" s="3" t="inlineStr">
        <is>
          <t>mohammedazhar.as5@gmail.com</t>
        </is>
      </c>
      <c r="C5" s="3" t="inlineStr">
        <is>
          <t>Azhar</t>
        </is>
      </c>
      <c r="D5" s="3" t="n">
        <v>9985524437</v>
      </c>
      <c r="E5" s="3" t="n"/>
      <c r="F5" s="3" t="inlineStr">
        <is>
          <t>Warangal</t>
        </is>
      </c>
      <c r="G5" s="3" t="inlineStr">
        <is>
          <t>14-2-132/1</t>
        </is>
      </c>
      <c r="H5" s="3" t="inlineStr">
        <is>
          <t>Arabian knights</t>
        </is>
      </c>
      <c r="I5" s="3" t="inlineStr">
        <is>
          <t>Morning (7–10 AM)</t>
        </is>
      </c>
      <c r="J5" s="3" t="inlineStr">
        <is>
          <t>5+ Members</t>
        </is>
      </c>
      <c r="K5" s="3" t="inlineStr">
        <is>
          <t>Weekly Household Order</t>
        </is>
      </c>
      <c r="L5" s="3" t="n"/>
      <c r="M5" s="3" t="n"/>
      <c r="N5" s="3" t="inlineStr">
        <is>
          <t>Not Needed</t>
        </is>
      </c>
      <c r="O5" s="3" t="n"/>
      <c r="P5" s="3" t="n"/>
      <c r="Q5" s="3" t="inlineStr">
        <is>
          <t>Not Needed</t>
        </is>
      </c>
      <c r="R5" s="3" t="inlineStr">
        <is>
          <t>Not Needed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inlineStr">
        <is>
          <t>5 upees</t>
        </is>
      </c>
      <c r="AE5" s="3" t="inlineStr">
        <is>
          <t>0.5 kg</t>
        </is>
      </c>
      <c r="AF5" s="3" t="inlineStr">
        <is>
          <t>20 Rupees, 0.5 kg</t>
        </is>
      </c>
      <c r="AG5" s="3" t="n"/>
      <c r="AH5" s="3" t="n"/>
      <c r="AI5" s="3" t="inlineStr">
        <is>
          <t>0.5 kg</t>
        </is>
      </c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</row>
    <row r="6">
      <c r="A6" s="2" t="n">
        <v>46134.0052850463</v>
      </c>
      <c r="B6" s="3" t="inlineStr">
        <is>
          <t>minhajmuhammad229@gmail.com</t>
        </is>
      </c>
      <c r="C6" s="3" t="inlineStr">
        <is>
          <t xml:space="preserve">Mohammed Minhaj </t>
        </is>
      </c>
      <c r="D6" s="3" t="n">
        <v>123</v>
      </c>
      <c r="E6" s="3" t="n">
        <v>9</v>
      </c>
      <c r="F6" s="3" t="inlineStr">
        <is>
          <t>Warangal</t>
        </is>
      </c>
      <c r="G6" s="3" t="n">
        <v>14</v>
      </c>
      <c r="H6" s="3" t="inlineStr">
        <is>
          <t>T</t>
        </is>
      </c>
      <c r="I6" s="3" t="inlineStr">
        <is>
          <t>Morning (7–10 AM)</t>
        </is>
      </c>
      <c r="J6" s="3" t="inlineStr">
        <is>
          <t>5+ Members</t>
        </is>
      </c>
      <c r="K6" s="3" t="inlineStr">
        <is>
          <t>Trial First Order</t>
        </is>
      </c>
      <c r="L6" s="3" t="inlineStr">
        <is>
          <t>Not Needed</t>
        </is>
      </c>
      <c r="M6" s="3" t="inlineStr">
        <is>
          <t>250g</t>
        </is>
      </c>
      <c r="N6" s="3" t="n"/>
      <c r="O6" s="3" t="inlineStr">
        <is>
          <t>Not Needed, 1 kg</t>
        </is>
      </c>
      <c r="P6" s="3" t="n"/>
      <c r="Q6" s="3" t="inlineStr">
        <is>
          <t>500g</t>
        </is>
      </c>
      <c r="R6" s="3" t="inlineStr">
        <is>
          <t>500g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inlineStr">
        <is>
          <t>20 Rupees</t>
        </is>
      </c>
      <c r="AC6" s="3" t="n"/>
      <c r="AD6" s="3" t="inlineStr">
        <is>
          <t>0.5 kg</t>
        </is>
      </c>
      <c r="AE6" s="3" t="inlineStr">
        <is>
          <t>0.5 kg</t>
        </is>
      </c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</row>
    <row r="7">
      <c r="A7" s="2" t="n">
        <v>46135.5013627662</v>
      </c>
      <c r="B7" s="3" t="inlineStr">
        <is>
          <t>minhajmuhammad229@gmail.com</t>
        </is>
      </c>
      <c r="C7" s="3" t="inlineStr">
        <is>
          <t xml:space="preserve">Mohammed Minhaj </t>
        </is>
      </c>
      <c r="D7" s="3" t="n">
        <v>8</v>
      </c>
      <c r="E7" s="3" t="n">
        <v>7</v>
      </c>
      <c r="F7" s="3" t="inlineStr">
        <is>
          <t>Warangal (mandi bazar)</t>
        </is>
      </c>
      <c r="G7" s="3" t="inlineStr">
        <is>
          <t>Yh</t>
        </is>
      </c>
      <c r="H7" s="3" t="inlineStr">
        <is>
          <t>Vj</t>
        </is>
      </c>
      <c r="I7" s="3" t="inlineStr">
        <is>
          <t>Morning (7–10 AM)</t>
        </is>
      </c>
      <c r="J7" s="3" t="inlineStr">
        <is>
          <t>5+ Members</t>
        </is>
      </c>
      <c r="K7" s="3" t="inlineStr">
        <is>
          <t>Trial First Order</t>
        </is>
      </c>
      <c r="Q7" s="3" t="inlineStr">
        <is>
          <t>Not Needed</t>
        </is>
      </c>
      <c r="T7" s="3" t="inlineStr">
        <is>
          <t>250g, 1 kg</t>
        </is>
      </c>
      <c r="AE7" s="3" t="inlineStr">
        <is>
          <t>10 Rupees</t>
        </is>
      </c>
      <c r="AG7" s="3" t="inlineStr">
        <is>
          <t>0.5 kg</t>
        </is>
      </c>
      <c r="AJ7" s="3" t="inlineStr">
        <is>
          <t>0.5 kg</t>
        </is>
      </c>
      <c r="AL7" s="3" t="inlineStr">
        <is>
          <t>2 kg</t>
        </is>
      </c>
      <c r="AN7" s="3" t="inlineStr">
        <is>
          <t>2 kg</t>
        </is>
      </c>
      <c r="AQ7" s="3" t="n">
        <v>6</v>
      </c>
      <c r="AR7" s="3" t="inlineStr">
        <is>
          <t>Yes, please send the confirmed bill before dispatch.</t>
        </is>
      </c>
      <c r="AS7" s="3" t="inlineStr">
        <is>
          <t>Yes, please remind me every Friday afternoon.</t>
        </is>
      </c>
      <c r="AT7" s="3" t="inlineStr">
        <is>
          <t>Nopeeee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5" t="inlineStr">
        <is>
          <t>Packaging Cost</t>
        </is>
      </c>
      <c r="B2" s="6" t="n">
        <v>10</v>
      </c>
    </row>
    <row r="3">
      <c r="A3" s="5" t="inlineStr">
        <is>
          <t>Delivery Charge</t>
        </is>
      </c>
      <c r="B3" s="6" t="n">
        <v>20</v>
      </c>
    </row>
    <row r="4">
      <c r="A4" s="5" t="inlineStr">
        <is>
          <t>Margin %</t>
        </is>
      </c>
      <c r="B4" s="7" t="n">
        <v>0.18</v>
      </c>
    </row>
    <row r="5"/>
    <row r="6">
      <c r="A6" s="4" t="inlineStr">
        <is>
          <t>Product Name</t>
        </is>
      </c>
      <c r="B6" s="4" t="inlineStr">
        <is>
          <t>Unit</t>
        </is>
      </c>
      <c r="C6" s="4" t="inlineStr">
        <is>
          <t>Buy Price</t>
        </is>
      </c>
      <c r="D6" s="4" t="inlineStr">
        <is>
          <t>Sell Price</t>
        </is>
      </c>
    </row>
    <row r="7">
      <c r="A7" s="8" t="inlineStr">
        <is>
          <t>Onion</t>
        </is>
      </c>
      <c r="B7" s="8" t="inlineStr">
        <is>
          <t>kg</t>
        </is>
      </c>
      <c r="C7" s="6" t="n">
        <v>30</v>
      </c>
      <c r="D7" s="6" t="n">
        <v>35</v>
      </c>
    </row>
    <row r="8">
      <c r="A8" s="8" t="inlineStr">
        <is>
          <t>Tomato</t>
        </is>
      </c>
      <c r="B8" s="8" t="inlineStr">
        <is>
          <t>kg</t>
        </is>
      </c>
      <c r="C8" s="6" t="n">
        <v>25</v>
      </c>
      <c r="D8" s="6" t="n">
        <v>30</v>
      </c>
    </row>
    <row r="9">
      <c r="A9" s="8" t="inlineStr">
        <is>
          <t>Potato</t>
        </is>
      </c>
      <c r="B9" s="8" t="inlineStr">
        <is>
          <t>kg</t>
        </is>
      </c>
      <c r="C9" s="6" t="n">
        <v>30</v>
      </c>
      <c r="D9" s="6" t="n">
        <v>35</v>
      </c>
    </row>
    <row r="10">
      <c r="A10" s="8" t="inlineStr">
        <is>
          <t>Brinjal</t>
        </is>
      </c>
      <c r="B10" s="8" t="inlineStr">
        <is>
          <t>kg</t>
        </is>
      </c>
      <c r="C10" s="6" t="n">
        <v>35</v>
      </c>
      <c r="D10" s="6" t="n">
        <v>41</v>
      </c>
    </row>
    <row r="11">
      <c r="A11" s="8" t="inlineStr">
        <is>
          <t>Ginger</t>
        </is>
      </c>
      <c r="B11" s="8" t="inlineStr">
        <is>
          <t>kg</t>
        </is>
      </c>
      <c r="C11" s="6" t="n">
        <v>120</v>
      </c>
      <c r="D11" s="6" t="n">
        <v>142</v>
      </c>
    </row>
    <row r="12">
      <c r="A12" s="8" t="inlineStr">
        <is>
          <t>Garlic</t>
        </is>
      </c>
      <c r="B12" s="8" t="inlineStr">
        <is>
          <t>kg</t>
        </is>
      </c>
      <c r="C12" s="6" t="n">
        <v>160</v>
      </c>
      <c r="D12" s="6" t="n">
        <v>189</v>
      </c>
    </row>
    <row r="13">
      <c r="A13" s="8" t="inlineStr">
        <is>
          <t>Cucumber</t>
        </is>
      </c>
      <c r="B13" s="8" t="inlineStr">
        <is>
          <t>kg</t>
        </is>
      </c>
      <c r="C13" s="6" t="n">
        <v>30</v>
      </c>
      <c r="D13" s="6" t="n">
        <v>35</v>
      </c>
    </row>
    <row r="14">
      <c r="A14" s="8" t="inlineStr">
        <is>
          <t>Carrot</t>
        </is>
      </c>
      <c r="B14" s="8" t="inlineStr">
        <is>
          <t>kg</t>
        </is>
      </c>
      <c r="C14" s="6" t="n">
        <v>50</v>
      </c>
      <c r="D14" s="6" t="n">
        <v>59</v>
      </c>
    </row>
    <row r="15">
      <c r="A15" s="8" t="inlineStr">
        <is>
          <t>Capsicum</t>
        </is>
      </c>
      <c r="B15" s="8" t="inlineStr">
        <is>
          <t>kg</t>
        </is>
      </c>
      <c r="C15" s="6" t="n">
        <v>80</v>
      </c>
      <c r="D15" s="6" t="n">
        <v>94</v>
      </c>
    </row>
    <row r="16">
      <c r="A16" s="8" t="inlineStr">
        <is>
          <t>Bottle Gourd</t>
        </is>
      </c>
      <c r="B16" s="8" t="inlineStr">
        <is>
          <t>kg</t>
        </is>
      </c>
      <c r="C16" s="6" t="n">
        <v>25</v>
      </c>
      <c r="D16" s="6" t="n">
        <v>30</v>
      </c>
    </row>
    <row r="17">
      <c r="A17" s="8" t="inlineStr">
        <is>
          <t>Lady Finger</t>
        </is>
      </c>
      <c r="B17" s="8" t="inlineStr">
        <is>
          <t>kg</t>
        </is>
      </c>
      <c r="C17" s="6" t="n">
        <v>50</v>
      </c>
      <c r="D17" s="6" t="n">
        <v>59</v>
      </c>
    </row>
    <row r="18">
      <c r="A18" s="8" t="inlineStr">
        <is>
          <t>Cauliflower</t>
        </is>
      </c>
      <c r="B18" s="8" t="inlineStr">
        <is>
          <t>kg</t>
        </is>
      </c>
      <c r="C18" s="6" t="n">
        <v>40</v>
      </c>
      <c r="D18" s="6" t="n">
        <v>47</v>
      </c>
    </row>
    <row r="19">
      <c r="A19" s="8" t="inlineStr">
        <is>
          <t>Cabbage</t>
        </is>
      </c>
      <c r="B19" s="8" t="inlineStr">
        <is>
          <t>kg</t>
        </is>
      </c>
      <c r="C19" s="6" t="n">
        <v>30</v>
      </c>
      <c r="D19" s="6" t="n">
        <v>35</v>
      </c>
    </row>
    <row r="20">
      <c r="A20" s="8" t="inlineStr">
        <is>
          <t>Beans Sem</t>
        </is>
      </c>
      <c r="B20" s="8" t="inlineStr">
        <is>
          <t>kg</t>
        </is>
      </c>
      <c r="C20" s="6" t="n">
        <v>60</v>
      </c>
      <c r="D20" s="6" t="n">
        <v>71</v>
      </c>
    </row>
    <row r="21">
      <c r="A21" s="8" t="inlineStr">
        <is>
          <t>Beans Binnis</t>
        </is>
      </c>
      <c r="B21" s="8" t="inlineStr">
        <is>
          <t>kg</t>
        </is>
      </c>
      <c r="C21" s="6" t="n">
        <v>60</v>
      </c>
      <c r="D21" s="6" t="n">
        <v>71</v>
      </c>
    </row>
    <row r="22">
      <c r="A22" s="8" t="inlineStr">
        <is>
          <t>Beans Gawar</t>
        </is>
      </c>
      <c r="B22" s="8" t="inlineStr">
        <is>
          <t>kg</t>
        </is>
      </c>
      <c r="C22" s="6" t="n">
        <v>50</v>
      </c>
      <c r="D22" s="6" t="n">
        <v>59</v>
      </c>
    </row>
    <row r="23">
      <c r="A23" s="8" t="inlineStr">
        <is>
          <t>Spinach</t>
        </is>
      </c>
      <c r="B23" s="8" t="inlineStr">
        <is>
          <t>kg</t>
        </is>
      </c>
      <c r="C23" s="6" t="n">
        <v>20</v>
      </c>
      <c r="D23" s="6" t="n">
        <v>24</v>
      </c>
    </row>
    <row r="24">
      <c r="A24" s="8" t="inlineStr">
        <is>
          <t>Ambadey</t>
        </is>
      </c>
      <c r="B24" s="8" t="inlineStr">
        <is>
          <t>kg</t>
        </is>
      </c>
      <c r="C24" s="6" t="n">
        <v>15</v>
      </c>
      <c r="D24" s="6" t="n">
        <v>18</v>
      </c>
    </row>
    <row r="25">
      <c r="A25" s="8" t="inlineStr">
        <is>
          <t>Kufley</t>
        </is>
      </c>
      <c r="B25" s="8" t="inlineStr">
        <is>
          <t>kg</t>
        </is>
      </c>
      <c r="C25" s="6" t="n">
        <v>15</v>
      </c>
      <c r="D25" s="6" t="n">
        <v>18</v>
      </c>
    </row>
    <row r="26">
      <c r="A26" s="8" t="inlineStr">
        <is>
          <t>Hari Mirchi</t>
        </is>
      </c>
      <c r="B26" s="8" t="inlineStr">
        <is>
          <t>kg</t>
        </is>
      </c>
      <c r="C26" s="6" t="n">
        <v>60</v>
      </c>
      <c r="D26" s="6" t="n">
        <v>71</v>
      </c>
    </row>
    <row r="27">
      <c r="A27" s="8" t="inlineStr">
        <is>
          <t>Kothimir</t>
        </is>
      </c>
      <c r="B27" s="8" t="inlineStr">
        <is>
          <t>kg</t>
        </is>
      </c>
      <c r="C27" s="6" t="n">
        <v>20</v>
      </c>
      <c r="D27" s="6" t="n">
        <v>24</v>
      </c>
    </row>
    <row r="28">
      <c r="A28" s="8" t="inlineStr">
        <is>
          <t>Pudina</t>
        </is>
      </c>
      <c r="B28" s="8" t="inlineStr">
        <is>
          <t>kg</t>
        </is>
      </c>
      <c r="C28" s="6" t="n">
        <v>15</v>
      </c>
      <c r="D28" s="6" t="n">
        <v>18</v>
      </c>
    </row>
    <row r="29">
      <c r="A29" s="8" t="inlineStr">
        <is>
          <t>Karyapaak</t>
        </is>
      </c>
      <c r="B29" s="8" t="inlineStr">
        <is>
          <t>kg</t>
        </is>
      </c>
      <c r="C29" s="6" t="n">
        <v>10</v>
      </c>
      <c r="D29" s="6" t="n">
        <v>12</v>
      </c>
    </row>
    <row r="30">
      <c r="A30" s="8" t="inlineStr">
        <is>
          <t>Lemon</t>
        </is>
      </c>
      <c r="B30" s="8" t="inlineStr">
        <is>
          <t>kg</t>
        </is>
      </c>
      <c r="C30" s="6" t="n">
        <v>80</v>
      </c>
      <c r="D30" s="6" t="n">
        <v>94</v>
      </c>
    </row>
    <row r="31">
      <c r="A31" s="8" t="inlineStr">
        <is>
          <t>Mangoes</t>
        </is>
      </c>
      <c r="B31" s="8" t="inlineStr">
        <is>
          <t>kg</t>
        </is>
      </c>
      <c r="C31" s="6" t="n">
        <v>80</v>
      </c>
      <c r="D31" s="6" t="n">
        <v>94</v>
      </c>
    </row>
    <row r="32">
      <c r="A32" s="8" t="inlineStr">
        <is>
          <t>Apple</t>
        </is>
      </c>
      <c r="B32" s="8" t="inlineStr">
        <is>
          <t>kg</t>
        </is>
      </c>
      <c r="C32" s="6" t="n">
        <v>120</v>
      </c>
      <c r="D32" s="6" t="n">
        <v>142</v>
      </c>
    </row>
    <row r="33">
      <c r="A33" s="8" t="inlineStr">
        <is>
          <t>Grapes</t>
        </is>
      </c>
      <c r="B33" s="8" t="inlineStr">
        <is>
          <t>kg</t>
        </is>
      </c>
      <c r="C33" s="6" t="n">
        <v>80</v>
      </c>
      <c r="D33" s="6" t="n">
        <v>94</v>
      </c>
    </row>
    <row r="34">
      <c r="A34" s="8" t="inlineStr">
        <is>
          <t>Pomegranate</t>
        </is>
      </c>
      <c r="B34" s="8" t="inlineStr">
        <is>
          <t>kg</t>
        </is>
      </c>
      <c r="C34" s="6" t="n">
        <v>150</v>
      </c>
      <c r="D34" s="6" t="n">
        <v>177</v>
      </c>
    </row>
    <row r="35">
      <c r="A35" s="8" t="inlineStr">
        <is>
          <t>Watermelon</t>
        </is>
      </c>
      <c r="B35" s="8" t="inlineStr">
        <is>
          <t>kg</t>
        </is>
      </c>
      <c r="C35" s="6" t="n">
        <v>25</v>
      </c>
      <c r="D35" s="6" t="n">
        <v>30</v>
      </c>
    </row>
    <row r="36">
      <c r="A36" s="8" t="inlineStr">
        <is>
          <t>Bananas</t>
        </is>
      </c>
      <c r="B36" s="8" t="inlineStr">
        <is>
          <t>kg</t>
        </is>
      </c>
      <c r="C36" s="6" t="n">
        <v>50</v>
      </c>
      <c r="D36" s="6" t="n">
        <v>59</v>
      </c>
    </row>
    <row r="37">
      <c r="A37" s="8" t="inlineStr">
        <is>
          <t>Oranges</t>
        </is>
      </c>
      <c r="B37" s="8" t="inlineStr">
        <is>
          <t>kg</t>
        </is>
      </c>
      <c r="C37" s="6" t="n">
        <v>60</v>
      </c>
      <c r="D37" s="6" t="n">
        <v>71</v>
      </c>
    </row>
    <row r="38">
      <c r="A38" s="8" t="inlineStr">
        <is>
          <t>Eggs</t>
        </is>
      </c>
      <c r="B38" s="8" t="inlineStr">
        <is>
          <t>pcs</t>
        </is>
      </c>
      <c r="C38" s="6" t="n">
        <v>6</v>
      </c>
      <c r="D38" s="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13" customWidth="1" min="2" max="2"/>
    <col width="22" customWidth="1" min="3" max="3"/>
    <col width="13" customWidth="1" min="4" max="4"/>
    <col width="22" customWidth="1" min="5" max="5"/>
    <col width="22" customWidth="1" min="6" max="6"/>
    <col width="2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22" customWidth="1" min="44" max="44"/>
  </cols>
  <sheetData>
    <row r="1">
      <c r="A1" s="4" t="inlineStr">
        <is>
          <t>Order ID</t>
        </is>
      </c>
      <c r="B1" s="4" t="inlineStr">
        <is>
          <t>Timestamp</t>
        </is>
      </c>
      <c r="C1" s="4" t="inlineStr">
        <is>
          <t>Customer Name</t>
        </is>
      </c>
      <c r="D1" s="4" t="inlineStr">
        <is>
          <t>Mobile</t>
        </is>
      </c>
      <c r="E1" s="4" t="inlineStr">
        <is>
          <t>Area</t>
        </is>
      </c>
      <c r="F1" s="4" t="inlineStr">
        <is>
          <t>Delivery Slot</t>
        </is>
      </c>
      <c r="G1" s="4" t="inlineStr">
        <is>
          <t>Order Type</t>
        </is>
      </c>
      <c r="H1" s="4" t="inlineStr">
        <is>
          <t>Onion</t>
        </is>
      </c>
      <c r="I1" s="4" t="inlineStr">
        <is>
          <t>Tomato</t>
        </is>
      </c>
      <c r="J1" s="4" t="inlineStr">
        <is>
          <t>Potato</t>
        </is>
      </c>
      <c r="K1" s="4" t="inlineStr">
        <is>
          <t>Brinjal</t>
        </is>
      </c>
      <c r="L1" s="4" t="inlineStr">
        <is>
          <t>Ginger</t>
        </is>
      </c>
      <c r="M1" s="4" t="inlineStr">
        <is>
          <t>Garlic</t>
        </is>
      </c>
      <c r="N1" s="4" t="inlineStr">
        <is>
          <t>Cucumber</t>
        </is>
      </c>
      <c r="O1" s="4" t="inlineStr">
        <is>
          <t>Carrot</t>
        </is>
      </c>
      <c r="P1" s="4" t="inlineStr">
        <is>
          <t>Capsicum</t>
        </is>
      </c>
      <c r="Q1" s="4" t="inlineStr">
        <is>
          <t>Bottle Gourd</t>
        </is>
      </c>
      <c r="R1" s="4" t="inlineStr">
        <is>
          <t>Lady Finger</t>
        </is>
      </c>
      <c r="S1" s="4" t="inlineStr">
        <is>
          <t>Cauliflower</t>
        </is>
      </c>
      <c r="T1" s="4" t="inlineStr">
        <is>
          <t>Cabbage</t>
        </is>
      </c>
      <c r="U1" s="4" t="inlineStr">
        <is>
          <t>Beans Sem</t>
        </is>
      </c>
      <c r="V1" s="4" t="inlineStr">
        <is>
          <t>Beans Binnis</t>
        </is>
      </c>
      <c r="W1" s="4" t="inlineStr">
        <is>
          <t>Beans Gawar</t>
        </is>
      </c>
      <c r="X1" s="4" t="inlineStr">
        <is>
          <t>Spinach</t>
        </is>
      </c>
      <c r="Y1" s="4" t="inlineStr">
        <is>
          <t>Ambadey</t>
        </is>
      </c>
      <c r="Z1" s="4" t="inlineStr">
        <is>
          <t>Kufley</t>
        </is>
      </c>
      <c r="AA1" s="4" t="inlineStr">
        <is>
          <t>Hari Mirchi</t>
        </is>
      </c>
      <c r="AB1" s="4" t="inlineStr">
        <is>
          <t>Kothimir</t>
        </is>
      </c>
      <c r="AC1" s="4" t="inlineStr">
        <is>
          <t>Pudina</t>
        </is>
      </c>
      <c r="AD1" s="4" t="inlineStr">
        <is>
          <t>Karyapaak</t>
        </is>
      </c>
      <c r="AE1" s="4" t="inlineStr">
        <is>
          <t>Lemon</t>
        </is>
      </c>
      <c r="AF1" s="4" t="inlineStr">
        <is>
          <t>Mangoes</t>
        </is>
      </c>
      <c r="AG1" s="4" t="inlineStr">
        <is>
          <t>Apple</t>
        </is>
      </c>
      <c r="AH1" s="4" t="inlineStr">
        <is>
          <t>Grapes</t>
        </is>
      </c>
      <c r="AI1" s="4" t="inlineStr">
        <is>
          <t>Pomegranate</t>
        </is>
      </c>
      <c r="AJ1" s="4" t="inlineStr">
        <is>
          <t>Watermelon</t>
        </is>
      </c>
      <c r="AK1" s="4" t="inlineStr">
        <is>
          <t>Bananas</t>
        </is>
      </c>
      <c r="AL1" s="4" t="inlineStr">
        <is>
          <t>Oranges</t>
        </is>
      </c>
      <c r="AM1" s="4" t="inlineStr">
        <is>
          <t>Eggs</t>
        </is>
      </c>
      <c r="AN1" s="4" t="inlineStr">
        <is>
          <t>Subtotal</t>
        </is>
      </c>
      <c r="AO1" s="4" t="inlineStr">
        <is>
          <t>Packaging Cost</t>
        </is>
      </c>
      <c r="AP1" s="4" t="inlineStr">
        <is>
          <t>Delivery Charge</t>
        </is>
      </c>
      <c r="AQ1" s="4" t="inlineStr">
        <is>
          <t>Final Bill</t>
        </is>
      </c>
      <c r="AR1" s="4" t="inlineStr">
        <is>
          <t>Notes</t>
        </is>
      </c>
    </row>
    <row r="2">
      <c r="A2" s="8">
        <f>ARRAYFORMULA(IF('Form responses 1'!$A2:$A="","","SF-"&amp;TEXT(ROW('Form responses 1'!$A2:$A)-1,"0000")))</f>
        <v/>
      </c>
      <c r="B2" s="8">
        <f>ARRAYFORMULA(IF('Form responses 1'!$A2:$A="","",IFERROR(INDEX('Form responses 1'!$A$2:$ZZ,,MATCH(TRUE,REGEXMATCH(LOWER('Form responses 1'!$A$1:$ZZ$1),"^timestamp$"),0)),"")))</f>
        <v/>
      </c>
      <c r="C2" s="8">
        <f>ARRAYFORMULA(IF('Form responses 1'!$A2:$A="","",IFERROR(INDEX('Form responses 1'!$A$2:$ZZ,,MATCH(TRUE,REGEXMATCH(LOWER('Form responses 1'!$A$1:$ZZ$1),"full name"),0)),"")))</f>
        <v/>
      </c>
      <c r="D2" s="8">
        <f>ARRAYFORMULA(IF('Form responses 1'!$A2:$A="","",IFERROR(TO_TEXT(INDEX('Form responses 1'!$A$2:$ZZ,,MATCH(TRUE,REGEXMATCH(LOWER('Form responses 1'!$A$1:$ZZ$1),"mobile number"),0))),"")))</f>
        <v/>
      </c>
      <c r="E2" s="8">
        <f>ARRAYFORMULA(IF('Form responses 1'!$A2:$A="","",IFERROR(INDEX('Form responses 1'!$A$2:$ZZ,,MATCH(TRUE,REGEXMATCH(LOWER('Form responses 1'!$A$1:$ZZ$1),"area"),0)),"")))</f>
        <v/>
      </c>
      <c r="F2" s="8">
        <f>ARRAYFORMULA(IF('Form responses 1'!$A2:$A="","",IFERROR(INDEX('Form responses 1'!$A$2:$ZZ,,MATCH(TRUE,REGEXMATCH(LOWER('Form responses 1'!$A$1:$ZZ$1),"preferred delivery slot"),0)),"")))</f>
        <v/>
      </c>
      <c r="G2" s="8">
        <f>ARRAYFORMULA(IF('Form responses 1'!$A2:$A="","",IFERROR(INDEX('Form responses 1'!$A$2:$ZZ,,MATCH(TRUE,REGEXMATCH(LOWER('Form responses 1'!$A$1:$ZZ$1),"order type"),0)),"")))</f>
        <v/>
      </c>
      <c r="H2" s="8">
        <f>ARRAYFORMULA(IF('Form responses 1'!$A2:$A="","",IFERROR(BYROW(INDEX('Form responses 1'!$A$2:$ZZ,,MATCH(TRUE,REGEXMATCH(LOWER('Form responses 1'!$A$1:$ZZ$1),"onion"),0)),LAMBDA(x,IF(OR(x="",REGEXMATCH(LOWER(x),"not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I2" s="8">
        <f>ARRAYFORMULA(IF('Form responses 1'!$A2:$A="","",IFERROR(BYROW(INDEX('Form responses 1'!$A$2:$ZZ,,MATCH(TRUE,REGEXMATCH(LOWER('Form responses 1'!$A$1:$ZZ$1),"tomato"),0)),LAMBDA(x,IF(OR(x="",REGEXMATCH(LOWER(x),"not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J2" s="8">
        <f>ARRAYFORMULA(IF('Form responses 1'!$A2:$A="","",IFERROR(BYROW(INDEX('Form responses 1'!$A$2:$ZZ,,MATCH(TRUE,REGEXMATCH(LOWER('Form responses 1'!$A$1:$ZZ$1),"potato"),0)),LAMBDA(x,IF(OR(x="",REGEXMATCH(LOWER(x),"not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K2" s="8">
        <f>ARRAYFORMULA(IF('Form responses 1'!$A2:$A="","",IFERROR(BYROW(INDEX('Form responses 1'!$A$2:$ZZ,,MATCH(TRUE,REGEXMATCH(LOWER('Form responses 1'!$A$1:$ZZ$1),"brinjal"),0)),LAMBDA(x,IF(OR(x="",REGEXMATCH(LOWER(x),"not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L2" s="8">
        <f>ARRAYFORMULA(IF('Form responses 1'!$A2:$A="","",IFERROR(BYROW(INDEX('Form responses 1'!$A$2:$ZZ,,MATCH(TRUE,REGEXMATCH(LOWER('Form responses 1'!$A$1:$ZZ$1),"ginger"),0)),LAMBDA(x,IF(OR(x="",REGEXMATCH(LOWER(x),"not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M2" s="8">
        <f>ARRAYFORMULA(IF('Form responses 1'!$A2:$A="","",IFERROR(BYROW(INDEX('Form responses 1'!$A$2:$ZZ,,MATCH(TRUE,REGEXMATCH(LOWER('Form responses 1'!$A$1:$ZZ$1),"garlic"),0)),LAMBDA(x,IF(OR(x="",REGEXMATCH(LOWER(x),"not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N2" s="8">
        <f>ARRAYFORMULA(IF('Form responses 1'!$A2:$A="","",IFERROR(BYROW(INDEX('Form responses 1'!$A$2:$ZZ,,MATCH(TRUE,REGEXMATCH(LOWER('Form responses 1'!$A$1:$ZZ$1),"cucumber"),0)),LAMBDA(x,IF(OR(x="",REGEXMATCH(LOWER(x),"not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O2" s="8">
        <f>ARRAYFORMULA(IF('Form responses 1'!$A2:$A="","",IFERROR(BYROW(INDEX('Form responses 1'!$A$2:$ZZ,,MATCH(TRUE,REGEXMATCH(LOWER('Form responses 1'!$A$1:$ZZ$1),"carrot"),0)),LAMBDA(x,IF(OR(x="",REGEXMATCH(LOWER(x),"not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P2" s="8">
        <f>ARRAYFORMULA(IF('Form responses 1'!$A2:$A="","",IFERROR(BYROW(INDEX('Form responses 1'!$A$2:$ZZ,,MATCH(TRUE,REGEXMATCH(LOWER('Form responses 1'!$A$1:$ZZ$1),"capsicum"),0)),LAMBDA(x,IF(OR(x="",REGEXMATCH(LOWER(x),"not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Q2" s="8">
        <f>ARRAYFORMULA(IF('Form responses 1'!$A2:$A="","",IFERROR(BYROW(INDEX('Form responses 1'!$A$2:$ZZ,,MATCH(TRUE,REGEXMATCH(LOWER('Form responses 1'!$A$1:$ZZ$1),"bottle gourd"),0)),LAMBDA(x,IF(OR(x="",REGEXMATCH(LOWER(x),"not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R2" s="8">
        <f>ARRAYFORMULA(IF('Form responses 1'!$A2:$A="","",IFERROR(BYROW(INDEX('Form responses 1'!$A$2:$ZZ,,MATCH(TRUE,REGEXMATCH(LOWER('Form responses 1'!$A$1:$ZZ$1),"lady finger"),0)),LAMBDA(x,IF(OR(x="",REGEXMATCH(LOWER(x),"not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S2" s="8">
        <f>ARRAYFORMULA(IF('Form responses 1'!$A2:$A="","",IFERROR(BYROW(INDEX('Form responses 1'!$A$2:$ZZ,,MATCH(TRUE,REGEXMATCH(LOWER('Form responses 1'!$A$1:$ZZ$1),"cauliflower"),0)),LAMBDA(x,IF(OR(x="",REGEXMATCH(LOWER(x),"not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T2" s="8">
        <f>ARRAYFORMULA(IF('Form responses 1'!$A2:$A="","",IFERROR(BYROW(INDEX('Form responses 1'!$A$2:$ZZ,,MATCH(TRUE,REGEXMATCH(LOWER('Form responses 1'!$A$1:$ZZ$1),"cabbage"),0)),LAMBDA(x,IF(OR(x="",REGEXMATCH(LOWER(x),"not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U2" s="8">
        <f>ARRAYFORMULA(IF('Form responses 1'!$A2:$A="","",IFERROR(BYROW(INDEX('Form responses 1'!$A$2:$ZZ,,MATCH(TRUE,REGEXMATCH(LOWER('Form responses 1'!$A$1:$ZZ$1),"beans.*sem"),0)),LAMBDA(x,IF(OR(x="",REGEXMATCH(LOWER(x),"not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V2" s="8">
        <f>ARRAYFORMULA(IF('Form responses 1'!$A2:$A="","",IFERROR(BYROW(INDEX('Form responses 1'!$A$2:$ZZ,,MATCH(TRUE,REGEXMATCH(LOWER('Form responses 1'!$A$1:$ZZ$1),"beans.*binnis"),0)),LAMBDA(x,IF(OR(x="",REGEXMATCH(LOWER(x),"not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W2" s="8">
        <f>ARRAYFORMULA(IF('Form responses 1'!$A2:$A="","",IFERROR(BYROW(INDEX('Form responses 1'!$A$2:$ZZ,,MATCH(TRUE,REGEXMATCH(LOWER('Form responses 1'!$A$1:$ZZ$1),"beans.*gawar"),0)),LAMBDA(x,IF(OR(x="",REGEXMATCH(LOWER(x),"not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X2" s="8">
        <f>ARRAYFORMULA(IF('Form responses 1'!$A2:$A="","",IFERROR(BYROW(INDEX('Form responses 1'!$A$2:$ZZ,,MATCH(TRUE,REGEXMATCH(LOWER('Form responses 1'!$A$1:$ZZ$1),"spinach"),0)),LAMBDA(x,IF(OR(x="",REGEXMATCH(LOWER(x),"not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Y2" s="8">
        <f>ARRAYFORMULA(IF('Form responses 1'!$A2:$A="","",IFERROR(BYROW(INDEX('Form responses 1'!$A$2:$ZZ,,MATCH(TRUE,REGEXMATCH(LOWER('Form responses 1'!$A$1:$ZZ$1),"ambadey"),0)),LAMBDA(x,IF(OR(x="",REGEXMATCH(LOWER(x),"not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Z2" s="8">
        <f>ARRAYFORMULA(IF('Form responses 1'!$A2:$A="","",IFERROR(BYROW(INDEX('Form responses 1'!$A$2:$ZZ,,MATCH(TRUE,REGEXMATCH(LOWER('Form responses 1'!$A$1:$ZZ$1),"kufley"),0)),LAMBDA(x,IF(OR(x="",REGEXMATCH(LOWER(x),"not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A2" s="8">
        <f>ARRAYFORMULA(IF('Form responses 1'!$A2:$A="","",IFERROR(BYROW(INDEX('Form responses 1'!$A$2:$ZZ,,MATCH(TRUE,REGEXMATCH(LOWER('Form responses 1'!$A$1:$ZZ$1),"hari mirchi"),0)),LAMBDA(x,IF(OR(x="",REGEXMATCH(LOWER(x),"not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B2" s="8">
        <f>ARRAYFORMULA(IF('Form responses 1'!$A2:$A="","",IFERROR(BYROW(INDEX('Form responses 1'!$A$2:$ZZ,,MATCH(TRUE,REGEXMATCH(LOWER('Form responses 1'!$A$1:$ZZ$1),"kothimir"),0)),LAMBDA(x,IF(OR(x="",REGEXMATCH(LOWER(x),"not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C2" s="8">
        <f>ARRAYFORMULA(IF('Form responses 1'!$A2:$A="","",IFERROR(BYROW(INDEX('Form responses 1'!$A$2:$ZZ,,MATCH(TRUE,REGEXMATCH(LOWER('Form responses 1'!$A$1:$ZZ$1),"pudina"),0)),LAMBDA(x,IF(OR(x="",REGEXMATCH(LOWER(x),"not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D2" s="8">
        <f>ARRAYFORMULA(IF('Form responses 1'!$A2:$A="","",IFERROR(BYROW(INDEX('Form responses 1'!$A$2:$ZZ,,MATCH(TRUE,REGEXMATCH(LOWER('Form responses 1'!$A$1:$ZZ$1),"karyapaak"),0)),LAMBDA(x,IF(OR(x="",REGEXMATCH(LOWER(x),"not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E2" s="8">
        <f>ARRAYFORMULA(IF('Form responses 1'!$A2:$A="","",IFERROR(BYROW(INDEX('Form responses 1'!$A$2:$ZZ,,MATCH(TRUE,REGEXMATCH(LOWER('Form responses 1'!$A$1:$ZZ$1),"lemon"),0)),LAMBDA(x,IF(OR(x="",REGEXMATCH(LOWER(x),"not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F2" s="8">
        <f>ARRAYFORMULA(IF('Form responses 1'!$A2:$A="","",IFERROR(BYROW(INDEX('Form responses 1'!$A$2:$ZZ,,MATCH(TRUE,REGEXMATCH(LOWER('Form responses 1'!$A$1:$ZZ$1),"mangoes"),0)),LAMBDA(x,IF(OR(x="",REGEXMATCH(LOWER(x),"not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G2" s="8">
        <f>ARRAYFORMULA(IF('Form responses 1'!$A2:$A="","",IFERROR(BYROW(INDEX('Form responses 1'!$A$2:$ZZ,,MATCH(TRUE,REGEXMATCH(LOWER('Form responses 1'!$A$1:$ZZ$1),"apple"),0)),LAMBDA(x,IF(OR(x="",REGEXMATCH(LOWER(x),"not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H2" s="8">
        <f>ARRAYFORMULA(IF('Form responses 1'!$A2:$A="","",IFERROR(BYROW(INDEX('Form responses 1'!$A$2:$ZZ,,MATCH(TRUE,REGEXMATCH(LOWER('Form responses 1'!$A$1:$ZZ$1),"grapes"),0)),LAMBDA(x,IF(OR(x="",REGEXMATCH(LOWER(x),"not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I2" s="8">
        <f>ARRAYFORMULA(IF('Form responses 1'!$A2:$A="","",IFERROR(BYROW(INDEX('Form responses 1'!$A$2:$ZZ,,MATCH(TRUE,REGEXMATCH(LOWER('Form responses 1'!$A$1:$ZZ$1),"pomegranate"),0)),LAMBDA(x,IF(OR(x="",REGEXMATCH(LOWER(x),"not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J2" s="8">
        <f>ARRAYFORMULA(IF('Form responses 1'!$A2:$A="","",IFERROR(BYROW(INDEX('Form responses 1'!$A$2:$ZZ,,MATCH(TRUE,REGEXMATCH(LOWER('Form responses 1'!$A$1:$ZZ$1),"watermelon"),0)),LAMBDA(x,IF(OR(x="",REGEXMATCH(LOWER(x),"not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K2" s="8">
        <f>ARRAYFORMULA(IF('Form responses 1'!$A2:$A="","",IFERROR(BYROW(INDEX('Form responses 1'!$A$2:$ZZ,,MATCH(TRUE,REGEXMATCH(LOWER('Form responses 1'!$A$1:$ZZ$1),"bananas"),0)),LAMBDA(x,IF(OR(x="",REGEXMATCH(LOWER(x),"not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L2" s="8">
        <f>ARRAYFORMULA(IF('Form responses 1'!$A2:$A="","",IFERROR(BYROW(INDEX('Form responses 1'!$A$2:$ZZ,,MATCH(TRUE,REGEXMATCH(LOWER('Form responses 1'!$A$1:$ZZ$1),"oranges"),0)),LAMBDA(x,IF(OR(x="",REGEXMATCH(LOWER(x),"not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M2" s="8">
        <f>ARRAYFORMULA(IF('Form responses 1'!$A2:$A="","",IFERROR(BYROW(INDEX('Form responses 1'!$A$2:$ZZ,,MATCH(TRUE,REGEXMATCH(LOWER('Form responses 1'!$A$1:$ZZ$1),"eggs"),0)),LAMBDA(x,IF(OR(x="",REGEXMATCH(LOWER(x),"not needed|custom")),0,SUM(IFERROR(VALUE(REGEXEXTRACT(TRIM(SPLIT(x,",")),"[0-9.]+"))*IF(REGEXMATCH(LOWER(TRIM(SPLIT(x,","))),"kg"),1,IF(REGEXMATCH(LOWER(TRIM(SPLIT(x,","))),"g"),0.001,1)),0)))))),0)))</f>
        <v/>
      </c>
      <c r="AN2" s="8">
        <f>ARRAYFORMULA(IF(A2:A="","",MMULT(N(H2:AM),TRANSPOSE(N(PRICE_MASTER!D7:D38)))))</f>
        <v/>
      </c>
      <c r="AO2" s="8">
        <f>ARRAYFORMULA(IF(A2:A="","",PRICE_MASTER!$B$2))</f>
        <v/>
      </c>
      <c r="AP2" s="8">
        <f>ARRAYFORMULA(IF(A2:A="","",PRICE_MASTER!$B$3))</f>
        <v/>
      </c>
      <c r="AQ2" s="8">
        <f>ARRAYFORMULA(IF(A2:A="","",AN2:AN+AO2:AO+AP2:AP))</f>
        <v/>
      </c>
      <c r="AR2" s="8">
        <f>ARRAYFORMULA(IF('Form responses 1'!$A2:$A="","",IFERROR(INDEX('Form responses 1'!$A$2:$ZZ,,MATCH(TRUE,REGEXMATCH(LOWER('Form responses 1'!$A$1:$ZZ$1),"special instructions|custom quantities"),0)),"")))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2" customWidth="1" min="2" max="2"/>
    <col width="18" customWidth="1" min="3" max="3"/>
    <col width="20" customWidth="1" min="4" max="4"/>
  </cols>
  <sheetData>
    <row r="1">
      <c r="A1" s="8" t="inlineStr">
        <is>
          <t>Buffer %</t>
        </is>
      </c>
      <c r="B1" s="7" t="n">
        <v>0.03</v>
      </c>
    </row>
    <row r="2"/>
    <row r="3">
      <c r="A3" s="4" t="inlineStr">
        <is>
          <t>Product</t>
        </is>
      </c>
      <c r="B3" s="4" t="inlineStr">
        <is>
          <t>Unit</t>
        </is>
      </c>
      <c r="C3" s="4" t="inlineStr">
        <is>
          <t>Total Required Qty</t>
        </is>
      </c>
      <c r="D3" s="4" t="inlineStr">
        <is>
          <t>Buy Qty With Buffer</t>
        </is>
      </c>
    </row>
    <row r="4">
      <c r="A4" s="8">
        <f>ARRAYFORMULA(PRICE_MASTER!A7:A38)</f>
        <v/>
      </c>
      <c r="B4" s="8">
        <f>ARRAYFORMULA(PRICE_MASTER!B7:B38)</f>
        <v/>
      </c>
      <c r="C4" s="8">
        <f>ARRAYFORMULA(IF(A4:A="","",MMULT(TRANSPOSE(N(ORDER_PROCESSOR!H2:AM)),N(ORDER_PROCESSOR!A2:A&lt;&gt;""))))</f>
        <v/>
      </c>
      <c r="D4" s="8">
        <f>ARRAYFORMULA(IF(C4:C="","",C4:C*(1+$B$1)))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</cols>
  <sheetData>
    <row r="1">
      <c r="A1" s="4" t="inlineStr">
        <is>
          <t>KPI</t>
        </is>
      </c>
      <c r="B1" s="4" t="inlineStr">
        <is>
          <t>Value</t>
        </is>
      </c>
    </row>
    <row r="2">
      <c r="A2" s="5" t="inlineStr">
        <is>
          <t>Total Orders</t>
        </is>
      </c>
      <c r="B2" s="9">
        <f>COUNTA(ORDER_PROCESSOR!A2:A)</f>
        <v/>
      </c>
    </row>
    <row r="3">
      <c r="A3" s="5" t="inlineStr">
        <is>
          <t>Total Revenue</t>
        </is>
      </c>
      <c r="B3" s="9">
        <f>SUM(ORDER_PROCESSOR!AQ2:AQ)</f>
        <v/>
      </c>
    </row>
    <row r="4">
      <c r="A4" s="5" t="inlineStr">
        <is>
          <t>Avg Order Value</t>
        </is>
      </c>
      <c r="B4" s="9">
        <f>IFERROR(AVERAGE(ORDER_PROCESSOR!AQ2:AQ),0)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2026-04-29T06:14:59Z</dcterms:created>
  <dcterms:modified xsi:type="dcterms:W3CDTF">2026-04-29T06:14:59Z</dcterms:modified>
</cp:coreProperties>
</file>